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000 WORKSPACE\900 PERSONAL\PUBLICACIONES\3WLA\"/>
    </mc:Choice>
  </mc:AlternateContent>
  <xr:revisionPtr revIDLastSave="0" documentId="13_ncr:1_{D6A4E7AF-6105-41C6-A281-79851C8A4A87}" xr6:coauthVersionLast="47" xr6:coauthVersionMax="47" xr10:uidLastSave="{00000000-0000-0000-0000-000000000000}"/>
  <bookViews>
    <workbookView xWindow="57480" yWindow="261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W5" i="1"/>
  <c r="L8" i="1"/>
  <c r="L5" i="1"/>
  <c r="I8" i="1"/>
  <c r="H8" i="1"/>
  <c r="I7" i="1"/>
  <c r="H7" i="1"/>
  <c r="I6" i="1"/>
  <c r="H6" i="1"/>
  <c r="I5" i="1"/>
  <c r="H5" i="1"/>
  <c r="Q5" i="1" s="1"/>
  <c r="I18" i="1"/>
  <c r="H18" i="1"/>
  <c r="I17" i="1"/>
  <c r="R17" i="1" s="1"/>
  <c r="H17" i="1"/>
  <c r="I16" i="1"/>
  <c r="R16" i="1" s="1"/>
  <c r="H16" i="1"/>
  <c r="Q16" i="1" s="1"/>
  <c r="I15" i="1"/>
  <c r="H15" i="1"/>
  <c r="Q15" i="1" s="1"/>
  <c r="I28" i="1"/>
  <c r="R28" i="1" s="1"/>
  <c r="H28" i="1"/>
  <c r="Q28" i="1" s="1"/>
  <c r="I27" i="1"/>
  <c r="R27" i="1" s="1"/>
  <c r="H27" i="1"/>
  <c r="Q27" i="1" s="1"/>
  <c r="I26" i="1"/>
  <c r="H26" i="1"/>
  <c r="Q26" i="1" s="1"/>
  <c r="I25" i="1"/>
  <c r="H25" i="1"/>
  <c r="Q18" i="1"/>
  <c r="Q17" i="1"/>
  <c r="J15" i="1"/>
  <c r="J16" i="1" s="1"/>
  <c r="M28" i="1"/>
  <c r="V28" i="1" s="1"/>
  <c r="L28" i="1"/>
  <c r="U28" i="1" s="1"/>
  <c r="M27" i="1"/>
  <c r="V27" i="1" s="1"/>
  <c r="L27" i="1"/>
  <c r="U27" i="1" s="1"/>
  <c r="M26" i="1"/>
  <c r="V26" i="1" s="1"/>
  <c r="L26" i="1"/>
  <c r="U26" i="1" s="1"/>
  <c r="R26" i="1"/>
  <c r="M25" i="1"/>
  <c r="V25" i="1" s="1"/>
  <c r="L25" i="1"/>
  <c r="U25" i="1" s="1"/>
  <c r="K25" i="1"/>
  <c r="K26" i="1" s="1"/>
  <c r="J25" i="1"/>
  <c r="J26" i="1" s="1"/>
  <c r="R25" i="1"/>
  <c r="Q25" i="1"/>
  <c r="M18" i="1"/>
  <c r="V18" i="1" s="1"/>
  <c r="L18" i="1"/>
  <c r="U18" i="1" s="1"/>
  <c r="R18" i="1"/>
  <c r="M17" i="1"/>
  <c r="V17" i="1" s="1"/>
  <c r="L17" i="1"/>
  <c r="U17" i="1" s="1"/>
  <c r="M16" i="1"/>
  <c r="V16" i="1" s="1"/>
  <c r="L16" i="1"/>
  <c r="U16" i="1" s="1"/>
  <c r="M15" i="1"/>
  <c r="V15" i="1" s="1"/>
  <c r="L15" i="1"/>
  <c r="U15" i="1" s="1"/>
  <c r="K15" i="1"/>
  <c r="K16" i="1" s="1"/>
  <c r="R15" i="1"/>
  <c r="S15" i="1" l="1"/>
  <c r="W15" i="1" s="1"/>
  <c r="T15" i="1"/>
  <c r="X15" i="1" s="1"/>
  <c r="T26" i="1"/>
  <c r="X26" i="1" s="1"/>
  <c r="K27" i="1"/>
  <c r="J27" i="1"/>
  <c r="S26" i="1"/>
  <c r="W26" i="1" s="1"/>
  <c r="S25" i="1"/>
  <c r="W25" i="1" s="1"/>
  <c r="T25" i="1"/>
  <c r="X25" i="1" s="1"/>
  <c r="J17" i="1"/>
  <c r="S16" i="1"/>
  <c r="W16" i="1" s="1"/>
  <c r="K17" i="1"/>
  <c r="T16" i="1"/>
  <c r="X16" i="1" s="1"/>
  <c r="M8" i="1"/>
  <c r="V8" i="1" s="1"/>
  <c r="U8" i="1"/>
  <c r="R8" i="1"/>
  <c r="Q8" i="1"/>
  <c r="M7" i="1"/>
  <c r="V7" i="1" s="1"/>
  <c r="L7" i="1"/>
  <c r="U7" i="1" s="1"/>
  <c r="R7" i="1"/>
  <c r="Q7" i="1"/>
  <c r="M6" i="1"/>
  <c r="V6" i="1" s="1"/>
  <c r="L6" i="1"/>
  <c r="U6" i="1" s="1"/>
  <c r="R6" i="1"/>
  <c r="Q6" i="1"/>
  <c r="M5" i="1"/>
  <c r="V5" i="1" s="1"/>
  <c r="U5" i="1"/>
  <c r="K5" i="1"/>
  <c r="K6" i="1" s="1"/>
  <c r="J5" i="1"/>
  <c r="J6" i="1" s="1"/>
  <c r="R5" i="1"/>
  <c r="T27" i="1" l="1"/>
  <c r="X27" i="1" s="1"/>
  <c r="K28" i="1"/>
  <c r="T28" i="1" s="1"/>
  <c r="X28" i="1" s="1"/>
  <c r="S27" i="1"/>
  <c r="W27" i="1" s="1"/>
  <c r="J28" i="1"/>
  <c r="S28" i="1" s="1"/>
  <c r="W28" i="1" s="1"/>
  <c r="K18" i="1"/>
  <c r="T18" i="1" s="1"/>
  <c r="X18" i="1" s="1"/>
  <c r="T17" i="1"/>
  <c r="X17" i="1" s="1"/>
  <c r="J18" i="1"/>
  <c r="S18" i="1" s="1"/>
  <c r="W18" i="1" s="1"/>
  <c r="S17" i="1"/>
  <c r="W17" i="1" s="1"/>
  <c r="S5" i="1"/>
  <c r="T5" i="1"/>
  <c r="K7" i="1"/>
  <c r="T6" i="1"/>
  <c r="X6" i="1" s="1"/>
  <c r="J7" i="1"/>
  <c r="S6" i="1"/>
  <c r="W6" i="1" s="1"/>
  <c r="T7" i="1" l="1"/>
  <c r="X7" i="1" s="1"/>
  <c r="K8" i="1"/>
  <c r="T8" i="1" s="1"/>
  <c r="X8" i="1" s="1"/>
  <c r="S7" i="1"/>
  <c r="W7" i="1" s="1"/>
  <c r="J8" i="1"/>
  <c r="S8" i="1" s="1"/>
  <c r="W8" i="1" s="1"/>
</calcChain>
</file>

<file path=xl/sharedStrings.xml><?xml version="1.0" encoding="utf-8"?>
<sst xmlns="http://schemas.openxmlformats.org/spreadsheetml/2006/main" count="63" uniqueCount="47">
  <si>
    <t>Id</t>
  </si>
  <si>
    <t>Description</t>
  </si>
  <si>
    <t>Report_Date</t>
  </si>
  <si>
    <t>PS</t>
  </si>
  <si>
    <t>PF</t>
  </si>
  <si>
    <t>AS</t>
  </si>
  <si>
    <t>AF</t>
  </si>
  <si>
    <t>PS_ACF</t>
  </si>
  <si>
    <t>PF_ACF</t>
  </si>
  <si>
    <t>PS_FC</t>
  </si>
  <si>
    <t>PF_FC</t>
  </si>
  <si>
    <t>PS_CVF</t>
  </si>
  <si>
    <t>PF_CVF</t>
  </si>
  <si>
    <t>ACF_Max</t>
  </si>
  <si>
    <t>FC_Max</t>
  </si>
  <si>
    <t>CVF_Max</t>
  </si>
  <si>
    <t>PS_ACF_norm</t>
  </si>
  <si>
    <t>PF_ACF_norm</t>
  </si>
  <si>
    <t>PS_FC_norm</t>
  </si>
  <si>
    <t>PF_FC_norm</t>
  </si>
  <si>
    <t>PS_CVF_norm</t>
  </si>
  <si>
    <t>PF_CVF_norm</t>
  </si>
  <si>
    <t>Planned Start</t>
  </si>
  <si>
    <t>Planned Finish</t>
  </si>
  <si>
    <t>Actual Start</t>
  </si>
  <si>
    <t>Actual Finish</t>
  </si>
  <si>
    <t>ACF</t>
  </si>
  <si>
    <t>Magnitude of change / Amplitud del cambio</t>
  </si>
  <si>
    <t>FC</t>
  </si>
  <si>
    <t>Frecuency of Change / Frecuencia de Cambios</t>
  </si>
  <si>
    <t>CVF</t>
  </si>
  <si>
    <t>Date coefficient of variation / Coeficiente de Variación de Fechas. Mide qué tan "dispersas", "inestables", "nerviosas" o "volátiles" son las fechas a lo largo del tiempo</t>
  </si>
  <si>
    <t>Verde &lt; 0.4</t>
  </si>
  <si>
    <t>Amarillo 0.4–0.7</t>
  </si>
  <si>
    <t>Rojo &gt; 0.7</t>
  </si>
  <si>
    <t>Verde &lt; 0.3</t>
  </si>
  <si>
    <t>Amarillo 0.3–0.5</t>
  </si>
  <si>
    <t>Rojo &gt; 0.5</t>
  </si>
  <si>
    <t>Verde &lt; 0.25</t>
  </si>
  <si>
    <t>Amarillo 0.25–0.45</t>
  </si>
  <si>
    <t>Rojo &gt; 0.45</t>
  </si>
  <si>
    <t>Semáforo</t>
  </si>
  <si>
    <t>PS_IVT</t>
  </si>
  <si>
    <t>PF_IVT</t>
  </si>
  <si>
    <t>Actividad 10000</t>
  </si>
  <si>
    <t>Actividad 1005</t>
  </si>
  <si>
    <t>Actividad 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</si>
</sst>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00000_);_(* \(#,##0.000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43" fontId="2" fillId="0" borderId="0" xfId="0" applyNumberFormat="1" applyFont="1"/>
    <xf numFmtId="43" fontId="2" fillId="0" borderId="0" xfId="1" applyFont="1"/>
    <xf numFmtId="43" fontId="3" fillId="0" borderId="0" xfId="0" applyNumberFormat="1" applyFont="1"/>
    <xf numFmtId="164" fontId="2" fillId="0" borderId="0" xfId="1" applyNumberFormat="1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8E247D19-C7AA-464F-A21A-5A0471F48E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zoomScale="85" zoomScaleNormal="85" workbookViewId="0">
      <selection activeCell="B21" sqref="B21"/>
    </sheetView>
  </sheetViews>
  <sheetFormatPr defaultRowHeight="15" x14ac:dyDescent="0.25"/>
  <cols>
    <col min="1" max="1" width="10.5703125" customWidth="1"/>
    <col min="2" max="2" width="19.28515625" customWidth="1"/>
    <col min="3" max="3" width="12.140625" bestFit="1" customWidth="1"/>
    <col min="4" max="5" width="10" bestFit="1" customWidth="1"/>
    <col min="6" max="7" width="15.42578125" customWidth="1"/>
    <col min="8" max="9" width="7.5703125" bestFit="1" customWidth="1"/>
    <col min="10" max="11" width="6.28515625" bestFit="1" customWidth="1"/>
    <col min="12" max="12" width="12" customWidth="1"/>
    <col min="13" max="13" width="12" bestFit="1" customWidth="1"/>
    <col min="15" max="15" width="7.85546875" bestFit="1" customWidth="1"/>
    <col min="17" max="18" width="13.42578125" bestFit="1" customWidth="1"/>
    <col min="19" max="20" width="12" bestFit="1" customWidth="1"/>
    <col min="21" max="22" width="13.42578125" bestFit="1" customWidth="1"/>
    <col min="23" max="24" width="9.28515625" bestFit="1" customWidth="1"/>
    <col min="25" max="25" width="19.7109375" customWidth="1"/>
  </cols>
  <sheetData>
    <row r="1" spans="1:25" s="2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2" t="s">
        <v>42</v>
      </c>
      <c r="X1" s="12" t="s">
        <v>43</v>
      </c>
      <c r="Y1" s="2" t="s">
        <v>41</v>
      </c>
    </row>
    <row r="2" spans="1:25" s="2" customForma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0"/>
      <c r="X2" s="10"/>
    </row>
    <row r="3" spans="1:25" s="2" customForma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0"/>
      <c r="X3" s="10"/>
    </row>
    <row r="4" spans="1:25" s="2" customFormat="1" x14ac:dyDescent="0.25">
      <c r="A4" s="2">
        <v>10000</v>
      </c>
      <c r="B4" s="2" t="s">
        <v>44</v>
      </c>
      <c r="C4" s="3">
        <v>45955</v>
      </c>
      <c r="D4" s="3">
        <v>45962</v>
      </c>
      <c r="E4" s="3">
        <v>45986</v>
      </c>
      <c r="F4" s="3"/>
      <c r="G4" s="3"/>
      <c r="H4" s="2">
        <v>0</v>
      </c>
      <c r="I4" s="2">
        <v>0</v>
      </c>
      <c r="W4" s="4"/>
      <c r="X4" s="4"/>
    </row>
    <row r="5" spans="1:25" s="2" customFormat="1" x14ac:dyDescent="0.25">
      <c r="A5" s="2">
        <v>10000</v>
      </c>
      <c r="B5" s="2" t="s">
        <v>44</v>
      </c>
      <c r="C5" s="3">
        <v>45962</v>
      </c>
      <c r="D5" s="3">
        <v>45964</v>
      </c>
      <c r="E5" s="3">
        <v>45989</v>
      </c>
      <c r="F5" s="3"/>
      <c r="G5" s="3"/>
      <c r="H5" s="2">
        <f t="shared" ref="H5:H8" si="0">ABS(D5-D4)</f>
        <v>2</v>
      </c>
      <c r="I5" s="2">
        <f t="shared" ref="I5:I8" si="1">ABS(E5-E4)</f>
        <v>3</v>
      </c>
      <c r="J5" s="2">
        <f>IF(D5&lt;&gt;D4,1,0)</f>
        <v>1</v>
      </c>
      <c r="K5" s="2">
        <f>IF(E5&lt;&gt;E4,1,0)</f>
        <v>1</v>
      </c>
      <c r="L5" s="8">
        <f>IFERROR(_xlfn.STDEV.P($D$4:D5)/AVERAGE($D$4:D5),"")</f>
        <v>2.1756630333094009E-5</v>
      </c>
      <c r="M5" s="8">
        <f>IFERROR(_xlfn.SINGLE(_xlfn.STDEV.P($E$4:E5))/AVERAGE($E$4:E5),"")</f>
        <v>3.2617559119325901E-5</v>
      </c>
      <c r="N5" s="6">
        <v>7</v>
      </c>
      <c r="O5" s="6">
        <v>5</v>
      </c>
      <c r="P5" s="6">
        <v>0.25</v>
      </c>
      <c r="Q5" s="5">
        <f>MIN(H5/N5,1)</f>
        <v>0.2857142857142857</v>
      </c>
      <c r="R5" s="5">
        <f t="shared" ref="R5:S8" si="2">MIN(I5/N5,1)</f>
        <v>0.42857142857142855</v>
      </c>
      <c r="S5" s="5">
        <f t="shared" si="2"/>
        <v>0.2</v>
      </c>
      <c r="T5" s="5">
        <f t="shared" ref="T5:U8" si="3">MIN(K5/O5,1)</f>
        <v>0.2</v>
      </c>
      <c r="U5" s="6">
        <f t="shared" si="3"/>
        <v>8.7026521332376035E-5</v>
      </c>
      <c r="V5" s="6">
        <f>MIN(M5/P5,1)</f>
        <v>1.304702364773036E-4</v>
      </c>
      <c r="W5" s="7">
        <f>0.5*Q5+0.3*S5+0.2*U5</f>
        <v>0.20287454816140932</v>
      </c>
      <c r="X5" s="7">
        <f>0.5*R5+0.3*T5+0.2*V5</f>
        <v>0.27431180833300972</v>
      </c>
      <c r="Y5" t="s">
        <v>32</v>
      </c>
    </row>
    <row r="6" spans="1:25" s="2" customFormat="1" x14ac:dyDescent="0.25">
      <c r="A6" s="2">
        <v>10000</v>
      </c>
      <c r="B6" s="2" t="s">
        <v>44</v>
      </c>
      <c r="C6" s="3">
        <v>45969</v>
      </c>
      <c r="D6" s="3">
        <v>45973</v>
      </c>
      <c r="E6" s="3">
        <v>45991</v>
      </c>
      <c r="F6" s="3"/>
      <c r="G6" s="3"/>
      <c r="H6" s="2">
        <f t="shared" si="0"/>
        <v>9</v>
      </c>
      <c r="I6" s="2">
        <f t="shared" si="1"/>
        <v>2</v>
      </c>
      <c r="J6" s="2">
        <f>IF(D6&lt;&gt;D5,J5+1,J5)</f>
        <v>2</v>
      </c>
      <c r="K6" s="2">
        <f t="shared" ref="K6:K8" si="4">IF(E6&lt;&gt;E5,K5+1,K5)</f>
        <v>2</v>
      </c>
      <c r="L6" s="8">
        <f>IFERROR(_xlfn.SINGLE(_xlfn.STDEV.P($D$4:D6))/AVERAGE($D$4:D6),"")</f>
        <v>1.0408124855442985E-4</v>
      </c>
      <c r="M6" s="8">
        <f>IFERROR(_xlfn.SINGLE(_xlfn.STDEV.P($E$4:E6))/AVERAGE($E$4:E6),"")</f>
        <v>4.4680674970420084E-5</v>
      </c>
      <c r="N6" s="6">
        <v>7</v>
      </c>
      <c r="O6" s="6">
        <v>5</v>
      </c>
      <c r="P6" s="6">
        <v>0.25</v>
      </c>
      <c r="Q6" s="5">
        <f>MIN(H6/N6,1)</f>
        <v>1</v>
      </c>
      <c r="R6" s="5">
        <f t="shared" si="2"/>
        <v>0.2857142857142857</v>
      </c>
      <c r="S6" s="5">
        <f t="shared" si="2"/>
        <v>0.4</v>
      </c>
      <c r="T6" s="5">
        <f t="shared" si="3"/>
        <v>0.4</v>
      </c>
      <c r="U6" s="6">
        <f t="shared" si="3"/>
        <v>4.1632499421771942E-4</v>
      </c>
      <c r="V6" s="6">
        <f>MIN(M6/P6,1)</f>
        <v>1.7872269988168033E-4</v>
      </c>
      <c r="W6" s="7">
        <f t="shared" ref="W6:W8" si="5">0.5*Q6+0.3*S6+0.2*U6</f>
        <v>0.62008326499884359</v>
      </c>
      <c r="X6" s="7">
        <f t="shared" ref="X5:X8" si="6">0.5*R6+0.3*T6+0.2*V6</f>
        <v>0.26289288739711919</v>
      </c>
      <c r="Y6" t="s">
        <v>33</v>
      </c>
    </row>
    <row r="7" spans="1:25" s="2" customFormat="1" x14ac:dyDescent="0.25">
      <c r="A7" s="2">
        <v>10000</v>
      </c>
      <c r="B7" s="2" t="s">
        <v>44</v>
      </c>
      <c r="C7" s="3">
        <v>45976</v>
      </c>
      <c r="D7" s="3">
        <v>45978</v>
      </c>
      <c r="E7" s="3">
        <v>45994</v>
      </c>
      <c r="F7" s="3"/>
      <c r="G7" s="3"/>
      <c r="H7" s="2">
        <f t="shared" si="0"/>
        <v>5</v>
      </c>
      <c r="I7" s="2">
        <f t="shared" si="1"/>
        <v>3</v>
      </c>
      <c r="J7" s="2">
        <f>IF(D7&lt;&gt;D6,J6+1,J6)</f>
        <v>3</v>
      </c>
      <c r="K7" s="2">
        <f t="shared" si="4"/>
        <v>3</v>
      </c>
      <c r="L7" s="8">
        <f>IFERROR(_xlfn.STDEV.P($D$4:D7)/AVERAGE($D$4:D7),"")</f>
        <v>1.4212907917109785E-4</v>
      </c>
      <c r="M7" s="8">
        <f>IFERROR(_xlfn.SINGLE(_xlfn.STDEV.P($E$4:E7))/AVERAGE($E$4:E7),"")</f>
        <v>6.3393693138131128E-5</v>
      </c>
      <c r="N7" s="6">
        <v>7</v>
      </c>
      <c r="O7" s="6">
        <v>5</v>
      </c>
      <c r="P7" s="6">
        <v>0.25</v>
      </c>
      <c r="Q7" s="5">
        <f>MIN(H7/N7,1)</f>
        <v>0.7142857142857143</v>
      </c>
      <c r="R7" s="5">
        <f t="shared" si="2"/>
        <v>0.42857142857142855</v>
      </c>
      <c r="S7" s="5">
        <f t="shared" si="2"/>
        <v>0.6</v>
      </c>
      <c r="T7" s="5">
        <f t="shared" si="3"/>
        <v>0.6</v>
      </c>
      <c r="U7" s="6">
        <f t="shared" si="3"/>
        <v>5.6851631668439141E-4</v>
      </c>
      <c r="V7" s="6">
        <f>MIN(M7/P7,1)</f>
        <v>2.5357477255252451E-4</v>
      </c>
      <c r="W7" s="7">
        <f t="shared" si="5"/>
        <v>0.53725656040619407</v>
      </c>
      <c r="X7" s="7">
        <f t="shared" si="6"/>
        <v>0.39433642924022472</v>
      </c>
      <c r="Y7" t="s">
        <v>34</v>
      </c>
    </row>
    <row r="8" spans="1:25" s="2" customFormat="1" x14ac:dyDescent="0.25">
      <c r="A8" s="2">
        <v>10000</v>
      </c>
      <c r="B8" s="2" t="s">
        <v>44</v>
      </c>
      <c r="C8" s="3">
        <v>45983</v>
      </c>
      <c r="D8" s="3">
        <v>45986</v>
      </c>
      <c r="E8" s="3">
        <v>45998</v>
      </c>
      <c r="F8" s="3"/>
      <c r="G8" s="3"/>
      <c r="H8" s="2">
        <f t="shared" si="0"/>
        <v>8</v>
      </c>
      <c r="I8" s="2">
        <f t="shared" si="1"/>
        <v>4</v>
      </c>
      <c r="J8" s="2">
        <f>IF(D8&lt;&gt;D7,J7+1,J7)</f>
        <v>4</v>
      </c>
      <c r="K8" s="2">
        <f t="shared" si="4"/>
        <v>4</v>
      </c>
      <c r="L8" s="8">
        <f>IFERROR(_xlfn.STDEV.P($D$4:D8)/AVERAGE($D$4:D8),"")</f>
        <v>1.9338571906651238E-4</v>
      </c>
      <c r="M8" s="8">
        <f>IFERROR(_xlfn.SINGLE(_xlfn.STDEV.P($E$4:E8))/AVERAGE($E$4:E8),"")</f>
        <v>8.9754509260605387E-5</v>
      </c>
      <c r="N8" s="6">
        <v>7</v>
      </c>
      <c r="O8" s="6">
        <v>5</v>
      </c>
      <c r="P8" s="6">
        <v>0.25</v>
      </c>
      <c r="Q8" s="5">
        <f>MIN(H8/N8,1)</f>
        <v>1</v>
      </c>
      <c r="R8" s="5">
        <f t="shared" si="2"/>
        <v>0.5714285714285714</v>
      </c>
      <c r="S8" s="5">
        <f t="shared" si="2"/>
        <v>0.8</v>
      </c>
      <c r="T8" s="5">
        <f t="shared" si="3"/>
        <v>0.8</v>
      </c>
      <c r="U8" s="6">
        <f t="shared" si="3"/>
        <v>7.7354287626604952E-4</v>
      </c>
      <c r="V8" s="6">
        <f>MIN(M8/P8,1)</f>
        <v>3.5901803704242155E-4</v>
      </c>
      <c r="W8" s="7">
        <f t="shared" si="5"/>
        <v>0.74015470857525323</v>
      </c>
      <c r="X8" s="7">
        <f t="shared" si="6"/>
        <v>0.52578608932169413</v>
      </c>
      <c r="Y8"/>
    </row>
    <row r="9" spans="1:25" s="2" customFormat="1" x14ac:dyDescent="0.25">
      <c r="C9" s="3"/>
      <c r="D9" s="3"/>
      <c r="E9" s="3"/>
      <c r="F9" s="3"/>
      <c r="G9" s="3"/>
      <c r="H9" s="3"/>
      <c r="L9" s="8"/>
      <c r="M9" s="8"/>
      <c r="N9" s="6"/>
      <c r="O9" s="6"/>
      <c r="P9" s="6"/>
      <c r="Q9" s="5"/>
      <c r="R9" s="5"/>
      <c r="S9" s="5"/>
      <c r="T9" s="5"/>
      <c r="U9" s="6"/>
      <c r="V9" s="6"/>
      <c r="W9" s="7"/>
      <c r="X9" s="7"/>
    </row>
    <row r="10" spans="1:25" s="2" customFormat="1" x14ac:dyDescent="0.25">
      <c r="C10" s="3"/>
      <c r="D10" s="3"/>
      <c r="E10" s="3"/>
      <c r="F10" s="3"/>
      <c r="G10" s="3"/>
      <c r="H10" s="3"/>
      <c r="L10" s="8"/>
      <c r="M10" s="8"/>
      <c r="N10" s="6"/>
      <c r="O10" s="6"/>
      <c r="P10" s="6"/>
      <c r="Q10" s="5"/>
      <c r="R10" s="5"/>
      <c r="S10" s="5"/>
      <c r="T10" s="5"/>
      <c r="U10" s="6"/>
      <c r="V10" s="6"/>
      <c r="W10" s="7"/>
      <c r="X10" s="7"/>
    </row>
    <row r="11" spans="1:25" s="2" customFormat="1" x14ac:dyDescent="0.25">
      <c r="C11" s="3"/>
      <c r="D11" s="3"/>
      <c r="E11" s="3"/>
      <c r="F11" s="3"/>
      <c r="G11" s="3"/>
      <c r="H11" s="3"/>
      <c r="L11" s="8"/>
      <c r="M11" s="8"/>
      <c r="N11" s="6"/>
      <c r="O11" s="6"/>
      <c r="P11" s="6"/>
      <c r="Q11" s="5"/>
      <c r="R11" s="5"/>
      <c r="S11" s="5"/>
      <c r="T11" s="5"/>
      <c r="U11" s="6"/>
      <c r="V11" s="6"/>
      <c r="W11" s="7"/>
      <c r="X11" s="7"/>
    </row>
    <row r="12" spans="1:25" s="2" customFormat="1" x14ac:dyDescent="0.25">
      <c r="C12" s="3"/>
      <c r="D12" s="3"/>
      <c r="E12" s="3"/>
      <c r="F12" s="3"/>
      <c r="G12" s="3"/>
      <c r="H12" s="3"/>
      <c r="L12" s="8"/>
      <c r="M12" s="8"/>
      <c r="N12" s="6"/>
      <c r="O12" s="6"/>
      <c r="P12" s="6"/>
      <c r="Q12" s="5"/>
      <c r="R12" s="5"/>
      <c r="S12" s="5"/>
      <c r="T12" s="5"/>
      <c r="U12" s="6"/>
      <c r="V12" s="6"/>
      <c r="W12" s="7"/>
      <c r="X12" s="7"/>
    </row>
    <row r="13" spans="1:25" s="2" customFormat="1" x14ac:dyDescent="0.25">
      <c r="C13" s="3"/>
      <c r="D13" s="3"/>
      <c r="E13" s="3"/>
      <c r="F13" s="3"/>
      <c r="G13" s="3"/>
      <c r="H13" s="3"/>
      <c r="L13" s="8"/>
      <c r="M13" s="8"/>
      <c r="N13" s="6"/>
      <c r="O13" s="6"/>
      <c r="P13" s="6"/>
      <c r="Q13" s="5"/>
      <c r="R13" s="5"/>
      <c r="S13" s="5"/>
      <c r="T13" s="5"/>
      <c r="U13" s="6"/>
      <c r="V13" s="6"/>
      <c r="W13" s="7"/>
      <c r="X13" s="7"/>
    </row>
    <row r="14" spans="1:25" s="2" customFormat="1" x14ac:dyDescent="0.25">
      <c r="A14" s="2">
        <v>10005</v>
      </c>
      <c r="B14" s="2" t="s">
        <v>45</v>
      </c>
      <c r="C14" s="3">
        <v>45955</v>
      </c>
      <c r="D14" s="3">
        <v>45962</v>
      </c>
      <c r="E14" s="3">
        <v>45986</v>
      </c>
      <c r="F14" s="3"/>
      <c r="G14" s="3"/>
      <c r="H14" s="2">
        <v>0</v>
      </c>
      <c r="I14" s="2">
        <v>0</v>
      </c>
      <c r="L14" s="9"/>
      <c r="M14" s="9"/>
      <c r="N14" s="5"/>
      <c r="O14" s="5"/>
    </row>
    <row r="15" spans="1:25" s="2" customFormat="1" x14ac:dyDescent="0.25">
      <c r="A15" s="2">
        <v>10005</v>
      </c>
      <c r="B15" s="2" t="s">
        <v>45</v>
      </c>
      <c r="C15" s="3">
        <v>45962</v>
      </c>
      <c r="D15" s="3">
        <v>45964</v>
      </c>
      <c r="E15" s="3">
        <v>45989</v>
      </c>
      <c r="F15" s="3"/>
      <c r="G15" s="3"/>
      <c r="H15" s="2">
        <f t="shared" ref="H15:H18" si="7">ABS(D15-D14)</f>
        <v>2</v>
      </c>
      <c r="I15" s="2">
        <f t="shared" ref="I15:I18" si="8">ABS(E15-E14)</f>
        <v>3</v>
      </c>
      <c r="J15" s="2">
        <f>IF(D15&lt;&gt;D14,1,0)</f>
        <v>1</v>
      </c>
      <c r="K15" s="2">
        <f>IF(E15&lt;&gt;E14,1,0)</f>
        <v>1</v>
      </c>
      <c r="L15" s="8">
        <f>IFERROR(_xlfn.STDEV.P($D$4:D15)/AVERAGE($D$4:D15),"")</f>
        <v>1.8908061798478205E-4</v>
      </c>
      <c r="M15" s="8">
        <f>IFERROR(_xlfn.SINGLE(_xlfn.STDEV.P($E$4:E15))/AVERAGE($E$4:E15),"")</f>
        <v>8.7637713310942866E-5</v>
      </c>
      <c r="N15" s="6">
        <v>7</v>
      </c>
      <c r="O15" s="6">
        <v>5</v>
      </c>
      <c r="P15" s="6">
        <v>0.25</v>
      </c>
      <c r="Q15" s="5">
        <f>MIN(H15/N15,1)</f>
        <v>0.2857142857142857</v>
      </c>
      <c r="R15" s="5">
        <f t="shared" ref="R15:R18" si="9">MIN(I15/N15,1)</f>
        <v>0.42857142857142855</v>
      </c>
      <c r="S15" s="5">
        <f t="shared" ref="S15:S18" si="10">MIN(J15/O15,1)</f>
        <v>0.2</v>
      </c>
      <c r="T15" s="5">
        <f t="shared" ref="T15:T18" si="11">MIN(K15/O15,1)</f>
        <v>0.2</v>
      </c>
      <c r="U15" s="6">
        <f t="shared" ref="U15:U18" si="12">MIN(L15/P15,1)</f>
        <v>7.5632247193912821E-4</v>
      </c>
      <c r="V15" s="6">
        <f>MIN(M15/P15,1)</f>
        <v>3.5055085324377146E-4</v>
      </c>
      <c r="W15" s="7">
        <f>0.5*Q15+0.3*S15+0.2*U15</f>
        <v>0.20300840735153067</v>
      </c>
      <c r="X15" s="7">
        <f t="shared" ref="X15:X18" si="13">0.5*R15+0.3*T15+0.2*V15</f>
        <v>0.27435582445636297</v>
      </c>
      <c r="Y15" t="s">
        <v>35</v>
      </c>
    </row>
    <row r="16" spans="1:25" s="2" customFormat="1" x14ac:dyDescent="0.25">
      <c r="A16" s="2">
        <v>10005</v>
      </c>
      <c r="B16" s="2" t="s">
        <v>45</v>
      </c>
      <c r="C16" s="3">
        <v>45969</v>
      </c>
      <c r="D16" s="3">
        <v>45973</v>
      </c>
      <c r="E16" s="3">
        <v>45991</v>
      </c>
      <c r="F16" s="3"/>
      <c r="G16" s="3"/>
      <c r="H16" s="2">
        <f t="shared" si="7"/>
        <v>9</v>
      </c>
      <c r="I16" s="2">
        <f t="shared" si="8"/>
        <v>2</v>
      </c>
      <c r="J16" s="2">
        <f>IF(D16&lt;&gt;D15,J15+1,J15)</f>
        <v>2</v>
      </c>
      <c r="K16" s="2">
        <f t="shared" ref="K16:K18" si="14">IF(E16&lt;&gt;E15,K15+1,K15)</f>
        <v>2</v>
      </c>
      <c r="L16" s="8">
        <f>IFERROR(_xlfn.SINGLE(_xlfn.STDEV.P($D$4:D16))/AVERAGE($D$4:D16),"")</f>
        <v>1.7830658209118941E-4</v>
      </c>
      <c r="M16" s="8">
        <f>IFERROR(_xlfn.SINGLE(_xlfn.STDEV.P($E$4:E16))/AVERAGE($E$4:E16),"")</f>
        <v>8.2080369155268474E-5</v>
      </c>
      <c r="N16" s="6">
        <v>7</v>
      </c>
      <c r="O16" s="6">
        <v>5</v>
      </c>
      <c r="P16" s="6">
        <v>0.25</v>
      </c>
      <c r="Q16" s="5">
        <f>MIN(H16/N16,1)</f>
        <v>1</v>
      </c>
      <c r="R16" s="5">
        <f t="shared" si="9"/>
        <v>0.2857142857142857</v>
      </c>
      <c r="S16" s="5">
        <f t="shared" si="10"/>
        <v>0.4</v>
      </c>
      <c r="T16" s="5">
        <f t="shared" si="11"/>
        <v>0.4</v>
      </c>
      <c r="U16" s="6">
        <f t="shared" si="12"/>
        <v>7.1322632836475766E-4</v>
      </c>
      <c r="V16" s="6">
        <f>MIN(M16/P16,1)</f>
        <v>3.283214766210739E-4</v>
      </c>
      <c r="W16" s="7">
        <f t="shared" ref="W16:W18" si="15">0.5*Q16+0.3*S16+0.2*U16</f>
        <v>0.62014264526567298</v>
      </c>
      <c r="X16" s="7">
        <f t="shared" si="13"/>
        <v>0.26292280715246708</v>
      </c>
      <c r="Y16" t="s">
        <v>36</v>
      </c>
    </row>
    <row r="17" spans="1:25" s="2" customFormat="1" x14ac:dyDescent="0.25">
      <c r="A17" s="2">
        <v>10005</v>
      </c>
      <c r="B17" s="2" t="s">
        <v>45</v>
      </c>
      <c r="C17" s="3">
        <v>45976</v>
      </c>
      <c r="D17" s="3">
        <v>45978</v>
      </c>
      <c r="E17" s="3">
        <v>45994</v>
      </c>
      <c r="F17" s="3"/>
      <c r="G17" s="3"/>
      <c r="H17" s="2">
        <f t="shared" si="7"/>
        <v>5</v>
      </c>
      <c r="I17" s="2">
        <f t="shared" si="8"/>
        <v>3</v>
      </c>
      <c r="J17" s="2">
        <f>IF(D17&lt;&gt;D16,J16+1,J16)</f>
        <v>3</v>
      </c>
      <c r="K17" s="2">
        <f t="shared" si="14"/>
        <v>3</v>
      </c>
      <c r="L17" s="8">
        <f>IFERROR(_xlfn.STDEV.P($D$4:D17)/AVERAGE($D$4:D17),"")</f>
        <v>1.7625711464692352E-4</v>
      </c>
      <c r="M17" s="8">
        <f>IFERROR(_xlfn.SINGLE(_xlfn.STDEV.P($E$4:E17))/AVERAGE($E$4:E17),"")</f>
        <v>8.099698304611159E-5</v>
      </c>
      <c r="N17" s="6">
        <v>7</v>
      </c>
      <c r="O17" s="6">
        <v>5</v>
      </c>
      <c r="P17" s="6">
        <v>0.25</v>
      </c>
      <c r="Q17" s="5">
        <f>MIN(H17/N17,1)</f>
        <v>0.7142857142857143</v>
      </c>
      <c r="R17" s="5">
        <f t="shared" si="9"/>
        <v>0.42857142857142855</v>
      </c>
      <c r="S17" s="5">
        <f t="shared" si="10"/>
        <v>0.6</v>
      </c>
      <c r="T17" s="5">
        <f t="shared" si="11"/>
        <v>0.6</v>
      </c>
      <c r="U17" s="6">
        <f t="shared" si="12"/>
        <v>7.0502845858769409E-4</v>
      </c>
      <c r="V17" s="6">
        <f>MIN(M17/P17,1)</f>
        <v>3.2398793218444636E-4</v>
      </c>
      <c r="W17" s="7">
        <f t="shared" si="15"/>
        <v>0.53728386283457463</v>
      </c>
      <c r="X17" s="7">
        <f t="shared" si="13"/>
        <v>0.39435051187215114</v>
      </c>
      <c r="Y17" t="s">
        <v>37</v>
      </c>
    </row>
    <row r="18" spans="1:25" s="2" customFormat="1" x14ac:dyDescent="0.25">
      <c r="A18" s="2">
        <v>10005</v>
      </c>
      <c r="B18" s="2" t="s">
        <v>45</v>
      </c>
      <c r="C18" s="3">
        <v>45983</v>
      </c>
      <c r="D18" s="3">
        <v>45986</v>
      </c>
      <c r="E18" s="3">
        <v>45998</v>
      </c>
      <c r="F18" s="3"/>
      <c r="G18" s="3"/>
      <c r="H18" s="2">
        <f t="shared" si="7"/>
        <v>8</v>
      </c>
      <c r="I18" s="2">
        <f t="shared" si="8"/>
        <v>4</v>
      </c>
      <c r="J18" s="2">
        <f>IF(D18&lt;&gt;D17,J17+1,J17)</f>
        <v>4</v>
      </c>
      <c r="K18" s="2">
        <f t="shared" si="14"/>
        <v>4</v>
      </c>
      <c r="L18" s="8">
        <f>IFERROR(_xlfn.STDEV.P($D$4:D18)/AVERAGE($D$4:D18),"")</f>
        <v>1.9338571906651241E-4</v>
      </c>
      <c r="M18" s="8">
        <f>IFERROR(_xlfn.SINGLE(_xlfn.STDEV.P($E$4:E18))/AVERAGE($E$4:E18),"")</f>
        <v>8.9754509260605387E-5</v>
      </c>
      <c r="N18" s="6">
        <v>7</v>
      </c>
      <c r="O18" s="6">
        <v>5</v>
      </c>
      <c r="P18" s="6">
        <v>0.25</v>
      </c>
      <c r="Q18" s="5">
        <f>MIN(H18/N18,1)</f>
        <v>1</v>
      </c>
      <c r="R18" s="5">
        <f t="shared" si="9"/>
        <v>0.5714285714285714</v>
      </c>
      <c r="S18" s="5">
        <f t="shared" si="10"/>
        <v>0.8</v>
      </c>
      <c r="T18" s="5">
        <f t="shared" si="11"/>
        <v>0.8</v>
      </c>
      <c r="U18" s="6">
        <f t="shared" si="12"/>
        <v>7.7354287626604963E-4</v>
      </c>
      <c r="V18" s="6">
        <f>MIN(M18/P18,1)</f>
        <v>3.5901803704242155E-4</v>
      </c>
      <c r="W18" s="7">
        <f t="shared" si="15"/>
        <v>0.74015470857525323</v>
      </c>
      <c r="X18" s="7">
        <f t="shared" si="13"/>
        <v>0.52578608932169413</v>
      </c>
      <c r="Y18"/>
    </row>
    <row r="19" spans="1:25" s="2" customFormat="1" x14ac:dyDescent="0.25">
      <c r="C19" s="3"/>
      <c r="D19" s="3"/>
      <c r="E19" s="3"/>
      <c r="F19" s="3"/>
      <c r="G19" s="3"/>
      <c r="H19" s="3"/>
      <c r="L19" s="8"/>
      <c r="M19" s="8"/>
      <c r="N19" s="6"/>
      <c r="O19" s="6"/>
      <c r="P19" s="6"/>
      <c r="Q19" s="5"/>
      <c r="R19" s="5"/>
      <c r="S19" s="5"/>
      <c r="T19" s="5"/>
      <c r="U19" s="6"/>
      <c r="V19" s="6"/>
      <c r="W19" s="7"/>
      <c r="X19" s="7"/>
    </row>
    <row r="20" spans="1:25" s="2" customFormat="1" x14ac:dyDescent="0.25">
      <c r="C20" s="3"/>
      <c r="D20" s="3"/>
      <c r="E20" s="3"/>
      <c r="F20" s="3"/>
      <c r="G20" s="3"/>
      <c r="H20" s="3"/>
      <c r="L20" s="8"/>
      <c r="M20" s="8"/>
      <c r="N20" s="6"/>
      <c r="O20" s="6"/>
      <c r="P20" s="6"/>
      <c r="Q20" s="5"/>
      <c r="R20" s="5"/>
      <c r="S20" s="5"/>
      <c r="T20" s="5"/>
      <c r="U20" s="6"/>
      <c r="V20" s="6"/>
      <c r="W20" s="7"/>
      <c r="X20" s="7"/>
    </row>
    <row r="21" spans="1:25" s="2" customFormat="1" x14ac:dyDescent="0.25">
      <c r="C21" s="3"/>
      <c r="D21" s="3"/>
      <c r="E21" s="3"/>
      <c r="F21" s="3"/>
      <c r="G21" s="3"/>
      <c r="H21" s="3"/>
      <c r="L21" s="8"/>
      <c r="M21" s="8"/>
      <c r="N21" s="6"/>
      <c r="O21" s="6"/>
      <c r="P21" s="6"/>
      <c r="Q21" s="5"/>
      <c r="R21" s="5"/>
      <c r="S21" s="5"/>
      <c r="T21" s="5"/>
      <c r="U21" s="6"/>
      <c r="V21" s="6"/>
      <c r="W21" s="7"/>
      <c r="X21" s="7"/>
    </row>
    <row r="22" spans="1:25" s="2" customFormat="1" x14ac:dyDescent="0.25">
      <c r="C22" s="3"/>
      <c r="D22" s="3"/>
      <c r="E22" s="3"/>
      <c r="F22" s="3"/>
      <c r="G22" s="3"/>
      <c r="H22" s="3"/>
      <c r="L22" s="8"/>
      <c r="M22" s="8"/>
      <c r="N22" s="6"/>
      <c r="O22" s="6"/>
      <c r="P22" s="6"/>
      <c r="Q22" s="5"/>
      <c r="R22" s="5"/>
      <c r="S22" s="5"/>
      <c r="T22" s="5"/>
      <c r="U22" s="6"/>
      <c r="V22" s="6"/>
      <c r="W22" s="7"/>
      <c r="X22" s="7"/>
    </row>
    <row r="23" spans="1:25" s="2" customFormat="1" x14ac:dyDescent="0.25">
      <c r="C23" s="3"/>
      <c r="D23" s="3"/>
      <c r="E23" s="3"/>
      <c r="F23" s="3"/>
      <c r="G23" s="3"/>
      <c r="H23" s="3"/>
      <c r="L23" s="8"/>
      <c r="M23" s="8"/>
      <c r="N23" s="6"/>
      <c r="O23" s="6"/>
      <c r="P23" s="6"/>
      <c r="Q23" s="5"/>
      <c r="R23" s="5"/>
      <c r="S23" s="5"/>
      <c r="T23" s="5"/>
      <c r="U23" s="6"/>
      <c r="V23" s="6"/>
      <c r="W23" s="7"/>
      <c r="X23" s="7"/>
    </row>
    <row r="24" spans="1:25" s="2" customFormat="1" x14ac:dyDescent="0.25">
      <c r="A24" s="2">
        <v>10010</v>
      </c>
      <c r="B24" s="2" t="s">
        <v>46</v>
      </c>
      <c r="C24" s="3">
        <v>45955</v>
      </c>
      <c r="D24" s="3">
        <v>45962</v>
      </c>
      <c r="E24" s="3">
        <v>45986</v>
      </c>
      <c r="F24" s="3"/>
      <c r="G24" s="3"/>
      <c r="H24" s="2">
        <v>0</v>
      </c>
      <c r="I24" s="2">
        <v>0</v>
      </c>
      <c r="L24" s="9"/>
      <c r="M24" s="9"/>
      <c r="N24" s="5"/>
      <c r="O24" s="5"/>
      <c r="W24" s="7"/>
      <c r="X24" s="7"/>
    </row>
    <row r="25" spans="1:25" s="2" customFormat="1" x14ac:dyDescent="0.25">
      <c r="A25" s="2">
        <v>10010</v>
      </c>
      <c r="B25" s="2" t="s">
        <v>46</v>
      </c>
      <c r="C25" s="3">
        <v>45962</v>
      </c>
      <c r="D25" s="3">
        <v>45964</v>
      </c>
      <c r="E25" s="3">
        <v>45989</v>
      </c>
      <c r="F25" s="3"/>
      <c r="G25" s="3"/>
      <c r="H25" s="2">
        <f t="shared" ref="H25:H28" si="16">ABS(D25-D24)</f>
        <v>2</v>
      </c>
      <c r="I25" s="2">
        <f t="shared" ref="I25:I28" si="17">ABS(E25-E24)</f>
        <v>3</v>
      </c>
      <c r="J25" s="2">
        <f>IF(D25&lt;&gt;D24,1,0)</f>
        <v>1</v>
      </c>
      <c r="K25" s="2">
        <f>IF(E25&lt;&gt;E24,1,0)</f>
        <v>1</v>
      </c>
      <c r="L25" s="8">
        <f>IFERROR(_xlfn.STDEV.P($D$4:D25)/AVERAGE($D$4:D25),"")</f>
        <v>1.9313945171038556E-4</v>
      </c>
      <c r="M25" s="8">
        <f>IFERROR(_xlfn.SINGLE(_xlfn.STDEV.P($E$4:E25))/AVERAGE($E$4:E25),"")</f>
        <v>8.9412074423937557E-5</v>
      </c>
      <c r="N25" s="6">
        <v>7</v>
      </c>
      <c r="O25" s="6">
        <v>5</v>
      </c>
      <c r="P25" s="6">
        <v>0.25</v>
      </c>
      <c r="Q25" s="5">
        <f>MIN(H25/N25,1)</f>
        <v>0.2857142857142857</v>
      </c>
      <c r="R25" s="5">
        <f t="shared" ref="R25:R28" si="18">MIN(I25/N25,1)</f>
        <v>0.42857142857142855</v>
      </c>
      <c r="S25" s="5">
        <f t="shared" ref="S25:S28" si="19">MIN(J25/O25,1)</f>
        <v>0.2</v>
      </c>
      <c r="T25" s="5">
        <f t="shared" ref="T25:T28" si="20">MIN(K25/O25,1)</f>
        <v>0.2</v>
      </c>
      <c r="U25" s="6">
        <f t="shared" ref="U25:U28" si="21">MIN(L25/P25,1)</f>
        <v>7.7255780684154225E-4</v>
      </c>
      <c r="V25" s="6">
        <f>MIN(M25/P25,1)</f>
        <v>3.5764829769575023E-4</v>
      </c>
      <c r="W25" s="7">
        <f>0.5*Q25+0.3*S25+0.2*U25</f>
        <v>0.20301165441851116</v>
      </c>
      <c r="X25" s="7">
        <f t="shared" ref="X25:X28" si="22">0.5*R25+0.3*T25+0.2*V25</f>
        <v>0.2743572439452534</v>
      </c>
      <c r="Y25" t="s">
        <v>38</v>
      </c>
    </row>
    <row r="26" spans="1:25" s="2" customFormat="1" x14ac:dyDescent="0.25">
      <c r="A26" s="2">
        <v>10010</v>
      </c>
      <c r="B26" s="2" t="s">
        <v>46</v>
      </c>
      <c r="C26" s="3">
        <v>45969</v>
      </c>
      <c r="D26" s="3">
        <v>45973</v>
      </c>
      <c r="E26" s="3">
        <v>45991</v>
      </c>
      <c r="F26" s="3"/>
      <c r="G26" s="3"/>
      <c r="H26" s="2">
        <f t="shared" si="16"/>
        <v>9</v>
      </c>
      <c r="I26" s="2">
        <f t="shared" si="17"/>
        <v>2</v>
      </c>
      <c r="J26" s="2">
        <f>IF(D26&lt;&gt;D25,J25+1,J25)</f>
        <v>2</v>
      </c>
      <c r="K26" s="2">
        <f t="shared" ref="K26:K28" si="23">IF(E26&lt;&gt;E25,K25+1,K25)</f>
        <v>2</v>
      </c>
      <c r="L26" s="8">
        <f>IFERROR(_xlfn.SINGLE(_xlfn.STDEV.P($D$4:D26))/AVERAGE($D$4:D26),"")</f>
        <v>1.859235399224711E-4</v>
      </c>
      <c r="M26" s="8">
        <f>IFERROR(_xlfn.SINGLE(_xlfn.STDEV.P($E$4:E26))/AVERAGE($E$4:E26),"")</f>
        <v>8.5905687332257907E-5</v>
      </c>
      <c r="N26" s="6">
        <v>7</v>
      </c>
      <c r="O26" s="6">
        <v>5</v>
      </c>
      <c r="P26" s="6">
        <v>0.25</v>
      </c>
      <c r="Q26" s="5">
        <f>MIN(H26/N26,1)</f>
        <v>1</v>
      </c>
      <c r="R26" s="5">
        <f t="shared" si="18"/>
        <v>0.2857142857142857</v>
      </c>
      <c r="S26" s="5">
        <f t="shared" si="19"/>
        <v>0.4</v>
      </c>
      <c r="T26" s="5">
        <f t="shared" si="20"/>
        <v>0.4</v>
      </c>
      <c r="U26" s="6">
        <f t="shared" si="21"/>
        <v>7.436941596898844E-4</v>
      </c>
      <c r="V26" s="6">
        <f>MIN(M26/P26,1)</f>
        <v>3.4362274932903163E-4</v>
      </c>
      <c r="W26" s="7">
        <f t="shared" ref="W26:W28" si="24">0.5*Q26+0.3*S26+0.2*U26</f>
        <v>0.620148738831938</v>
      </c>
      <c r="X26" s="7">
        <f t="shared" si="22"/>
        <v>0.26292586740700863</v>
      </c>
      <c r="Y26" t="s">
        <v>39</v>
      </c>
    </row>
    <row r="27" spans="1:25" s="2" customFormat="1" x14ac:dyDescent="0.25">
      <c r="A27" s="2">
        <v>10010</v>
      </c>
      <c r="B27" s="2" t="s">
        <v>46</v>
      </c>
      <c r="C27" s="3">
        <v>45976</v>
      </c>
      <c r="D27" s="3">
        <v>45978</v>
      </c>
      <c r="E27" s="3">
        <v>45994</v>
      </c>
      <c r="F27" s="3"/>
      <c r="G27" s="3"/>
      <c r="H27" s="2">
        <f t="shared" si="16"/>
        <v>5</v>
      </c>
      <c r="I27" s="2">
        <f t="shared" si="17"/>
        <v>3</v>
      </c>
      <c r="J27" s="2">
        <f>IF(D27&lt;&gt;D26,J26+1,J26)</f>
        <v>3</v>
      </c>
      <c r="K27" s="2">
        <f t="shared" si="23"/>
        <v>3</v>
      </c>
      <c r="L27" s="8">
        <f>IFERROR(_xlfn.STDEV.P($D$4:D27)/AVERAGE($D$4:D27),"")</f>
        <v>1.8321770414712378E-4</v>
      </c>
      <c r="M27" s="8">
        <f>IFERROR(_xlfn.SINGLE(_xlfn.STDEV.P($E$4:E27))/AVERAGE($E$4:E27),"")</f>
        <v>8.4554526578510143E-5</v>
      </c>
      <c r="N27" s="6">
        <v>7</v>
      </c>
      <c r="O27" s="6">
        <v>5</v>
      </c>
      <c r="P27" s="6">
        <v>0.25</v>
      </c>
      <c r="Q27" s="5">
        <f>MIN(H27/N27,1)</f>
        <v>0.7142857142857143</v>
      </c>
      <c r="R27" s="5">
        <f t="shared" si="18"/>
        <v>0.42857142857142855</v>
      </c>
      <c r="S27" s="5">
        <f t="shared" si="19"/>
        <v>0.6</v>
      </c>
      <c r="T27" s="5">
        <f t="shared" si="20"/>
        <v>0.6</v>
      </c>
      <c r="U27" s="6">
        <f t="shared" si="21"/>
        <v>7.3287081658849511E-4</v>
      </c>
      <c r="V27" s="6">
        <f>MIN(M27/P27,1)</f>
        <v>3.3821810631404057E-4</v>
      </c>
      <c r="W27" s="7">
        <f t="shared" si="24"/>
        <v>0.53728943130617479</v>
      </c>
      <c r="X27" s="7">
        <f t="shared" si="22"/>
        <v>0.39435335790697706</v>
      </c>
      <c r="Y27" t="s">
        <v>40</v>
      </c>
    </row>
    <row r="28" spans="1:25" s="2" customFormat="1" x14ac:dyDescent="0.25">
      <c r="A28" s="2">
        <v>10010</v>
      </c>
      <c r="B28" s="2" t="s">
        <v>46</v>
      </c>
      <c r="C28" s="3">
        <v>45983</v>
      </c>
      <c r="D28" s="3">
        <v>45986</v>
      </c>
      <c r="E28" s="3">
        <v>45998</v>
      </c>
      <c r="F28" s="3"/>
      <c r="G28" s="3"/>
      <c r="H28" s="2">
        <f t="shared" si="16"/>
        <v>8</v>
      </c>
      <c r="I28" s="2">
        <f t="shared" si="17"/>
        <v>4</v>
      </c>
      <c r="J28" s="2">
        <f>IF(D28&lt;&gt;D27,J27+1,J27)</f>
        <v>4</v>
      </c>
      <c r="K28" s="2">
        <f t="shared" si="23"/>
        <v>4</v>
      </c>
      <c r="L28" s="8">
        <f>IFERROR(_xlfn.STDEV.P($D$4:D28)/AVERAGE($D$4:D28),"")</f>
        <v>1.9338571906651241E-4</v>
      </c>
      <c r="M28" s="8">
        <f>IFERROR(_xlfn.SINGLE(_xlfn.STDEV.P($E$4:E28))/AVERAGE($E$4:E28),"")</f>
        <v>8.9754509260605387E-5</v>
      </c>
      <c r="N28" s="6">
        <v>7</v>
      </c>
      <c r="O28" s="6">
        <v>5</v>
      </c>
      <c r="P28" s="6">
        <v>0.25</v>
      </c>
      <c r="Q28" s="5">
        <f>MIN(H28/N28,1)</f>
        <v>1</v>
      </c>
      <c r="R28" s="5">
        <f t="shared" si="18"/>
        <v>0.5714285714285714</v>
      </c>
      <c r="S28" s="5">
        <f t="shared" si="19"/>
        <v>0.8</v>
      </c>
      <c r="T28" s="5">
        <f t="shared" si="20"/>
        <v>0.8</v>
      </c>
      <c r="U28" s="6">
        <f t="shared" si="21"/>
        <v>7.7354287626604963E-4</v>
      </c>
      <c r="V28" s="6">
        <f>MIN(M28/P28,1)</f>
        <v>3.5901803704242155E-4</v>
      </c>
      <c r="W28" s="7">
        <f t="shared" si="24"/>
        <v>0.74015470857525323</v>
      </c>
      <c r="X28" s="7">
        <f t="shared" si="22"/>
        <v>0.52578608932169413</v>
      </c>
      <c r="Y28"/>
    </row>
    <row r="29" spans="1:25" s="2" customFormat="1" x14ac:dyDescent="0.25">
      <c r="C29" s="3"/>
      <c r="D29" s="3"/>
      <c r="E29" s="3"/>
      <c r="F29" s="3"/>
      <c r="G29" s="3"/>
      <c r="H29" s="3"/>
      <c r="L29" s="8"/>
      <c r="M29" s="8"/>
      <c r="N29" s="6"/>
      <c r="O29" s="6"/>
      <c r="P29" s="6"/>
      <c r="Q29" s="5"/>
      <c r="R29" s="5"/>
      <c r="S29" s="5"/>
      <c r="T29" s="5"/>
      <c r="U29" s="6"/>
      <c r="V29" s="6"/>
      <c r="W29" s="7"/>
      <c r="X29" s="7"/>
    </row>
    <row r="30" spans="1:25" s="2" customFormat="1" x14ac:dyDescent="0.25">
      <c r="C30" s="3"/>
      <c r="D30" s="3"/>
      <c r="E30" s="3"/>
      <c r="F30" s="3"/>
      <c r="G30" s="3"/>
      <c r="H30" s="3"/>
      <c r="L30" s="8"/>
      <c r="M30" s="8"/>
      <c r="N30" s="6"/>
      <c r="O30" s="6"/>
      <c r="P30" s="6"/>
      <c r="Q30" s="5"/>
      <c r="R30" s="5"/>
      <c r="S30" s="5"/>
      <c r="T30" s="5"/>
      <c r="U30" s="6"/>
      <c r="V30" s="6"/>
      <c r="W30" s="7"/>
      <c r="X30" s="7"/>
    </row>
    <row r="31" spans="1:25" s="2" customFormat="1" x14ac:dyDescent="0.25">
      <c r="C31" s="3"/>
      <c r="D31" s="3"/>
      <c r="E31" s="3"/>
      <c r="F31" s="3"/>
      <c r="G31" s="3"/>
      <c r="H31" s="3"/>
      <c r="L31" s="8"/>
      <c r="M31" s="8"/>
      <c r="N31" s="6"/>
      <c r="O31" s="6"/>
      <c r="P31" s="6"/>
      <c r="Q31" s="5"/>
      <c r="R31" s="5"/>
      <c r="S31" s="5"/>
      <c r="T31" s="5"/>
      <c r="U31" s="6"/>
      <c r="V31" s="6"/>
      <c r="W31" s="7"/>
      <c r="X31" s="7"/>
    </row>
  </sheetData>
  <conditionalFormatting sqref="W5:X8">
    <cfRule type="cellIs" dxfId="8" priority="7" operator="greaterThan">
      <formula>0.7</formula>
    </cfRule>
    <cfRule type="cellIs" dxfId="7" priority="8" operator="between">
      <formula>0.4</formula>
      <formula>0.7</formula>
    </cfRule>
    <cfRule type="cellIs" dxfId="6" priority="9" operator="lessThan">
      <formula>0.4</formula>
    </cfRule>
  </conditionalFormatting>
  <conditionalFormatting sqref="W15:X18">
    <cfRule type="cellIs" dxfId="5" priority="4" operator="greaterThan">
      <formula>0.5</formula>
    </cfRule>
    <cfRule type="cellIs" dxfId="4" priority="5" operator="between">
      <formula>0.3</formula>
      <formula>0.5</formula>
    </cfRule>
    <cfRule type="cellIs" dxfId="3" priority="6" operator="lessThan">
      <formula>0.3</formula>
    </cfRule>
  </conditionalFormatting>
  <conditionalFormatting sqref="W25:X28">
    <cfRule type="cellIs" dxfId="2" priority="1" operator="greaterThan">
      <formula>0.45</formula>
    </cfRule>
    <cfRule type="cellIs" dxfId="1" priority="2" operator="between">
      <formula>0.25</formula>
      <formula>0.45</formula>
    </cfRule>
    <cfRule type="cellIs" dxfId="0" priority="3" operator="lessThan">
      <formula>0.25</formula>
    </cfRule>
  </conditionalFormatting>
  <pageMargins left="0.7" right="0.7" top="0.75" bottom="0.75" header="0.3" footer="0.3"/>
  <ignoredErrors>
    <ignoredError sqref="L6:M7 L24:M28 L14:M18 M5 M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7A6A-FE9F-4EF6-B2AB-8A860125E2D6}">
  <dimension ref="A1:B7"/>
  <sheetViews>
    <sheetView workbookViewId="0"/>
  </sheetViews>
  <sheetFormatPr defaultRowHeight="15" x14ac:dyDescent="0.25"/>
  <sheetData>
    <row r="1" spans="1:2" x14ac:dyDescent="0.25">
      <c r="A1" s="2" t="s">
        <v>3</v>
      </c>
      <c r="B1" s="2" t="s">
        <v>22</v>
      </c>
    </row>
    <row r="2" spans="1:2" x14ac:dyDescent="0.25">
      <c r="A2" s="2" t="s">
        <v>4</v>
      </c>
      <c r="B2" s="2" t="s">
        <v>23</v>
      </c>
    </row>
    <row r="3" spans="1:2" x14ac:dyDescent="0.25">
      <c r="A3" s="2" t="s">
        <v>5</v>
      </c>
      <c r="B3" s="2" t="s">
        <v>24</v>
      </c>
    </row>
    <row r="4" spans="1:2" x14ac:dyDescent="0.25">
      <c r="A4" s="2" t="s">
        <v>6</v>
      </c>
      <c r="B4" s="2" t="s">
        <v>25</v>
      </c>
    </row>
    <row r="5" spans="1:2" x14ac:dyDescent="0.25">
      <c r="A5" t="s">
        <v>26</v>
      </c>
      <c r="B5" t="s">
        <v>27</v>
      </c>
    </row>
    <row r="6" spans="1:2" x14ac:dyDescent="0.25">
      <c r="A6" t="s">
        <v>28</v>
      </c>
      <c r="B6" t="s">
        <v>29</v>
      </c>
    </row>
    <row r="7" spans="1:2" x14ac:dyDescent="0.25">
      <c r="A7" t="s">
        <v>30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Caceres, Alder</dc:creator>
  <cp:lastModifiedBy>Caceres, Alder</cp:lastModifiedBy>
  <dcterms:created xsi:type="dcterms:W3CDTF">2015-06-05T18:17:20Z</dcterms:created>
  <dcterms:modified xsi:type="dcterms:W3CDTF">2025-12-01T17:10:04Z</dcterms:modified>
</cp:coreProperties>
</file>